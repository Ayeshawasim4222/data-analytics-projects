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EEE2EF6-165B-4EEF-B969-0B25E6B9F56F}" xr6:coauthVersionLast="47" xr6:coauthVersionMax="47" xr10:uidLastSave="{00000000-0000-0000-0000-000000000000}"/>
  <bookViews>
    <workbookView xWindow="-28920" yWindow="-45" windowWidth="29040" windowHeight="15720" xr2:uid="{7E6E1029-2287-4199-8B43-0F0F9EC24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J16" i="1"/>
  <c r="J12" i="1"/>
  <c r="J18" i="1"/>
  <c r="J17" i="1"/>
  <c r="J15" i="1"/>
  <c r="J14" i="1"/>
  <c r="J13" i="1"/>
  <c r="J3" i="1"/>
  <c r="J4" i="1"/>
  <c r="J5" i="1"/>
  <c r="J6" i="1"/>
  <c r="J7" i="1"/>
  <c r="J8" i="1"/>
  <c r="J9" i="1"/>
  <c r="J10" i="1"/>
  <c r="J2" i="1"/>
</calcChain>
</file>

<file path=xl/sharedStrings.xml><?xml version="1.0" encoding="utf-8"?>
<sst xmlns="http://schemas.openxmlformats.org/spreadsheetml/2006/main" count="67" uniqueCount="52">
  <si>
    <t>Order_ID</t>
  </si>
  <si>
    <t>Category</t>
  </si>
  <si>
    <t>Price</t>
  </si>
  <si>
    <t>Quantity</t>
  </si>
  <si>
    <t>City</t>
  </si>
  <si>
    <t>Payment</t>
  </si>
  <si>
    <t>Order_Date</t>
  </si>
  <si>
    <t>Total</t>
  </si>
  <si>
    <t>Saara</t>
  </si>
  <si>
    <t>Rehmaan</t>
  </si>
  <si>
    <t>Urooj</t>
  </si>
  <si>
    <t>Kamran</t>
  </si>
  <si>
    <t>Abdullah</t>
  </si>
  <si>
    <t>Ibrahim</t>
  </si>
  <si>
    <t>Mehak</t>
  </si>
  <si>
    <t>Umar</t>
  </si>
  <si>
    <t>Umair</t>
  </si>
  <si>
    <t>Zoha</t>
  </si>
  <si>
    <t>Shoes</t>
  </si>
  <si>
    <t>Watch</t>
  </si>
  <si>
    <t>Bag</t>
  </si>
  <si>
    <t>Shirt</t>
  </si>
  <si>
    <t>Laptop</t>
  </si>
  <si>
    <t>Bottle</t>
  </si>
  <si>
    <t>Headphones</t>
  </si>
  <si>
    <t>Jeans</t>
  </si>
  <si>
    <t>Fashion</t>
  </si>
  <si>
    <t>Accessories</t>
  </si>
  <si>
    <t>Clothing</t>
  </si>
  <si>
    <t>Electronics</t>
  </si>
  <si>
    <t>Home</t>
  </si>
  <si>
    <t>Delhi</t>
  </si>
  <si>
    <t>Mumbai</t>
  </si>
  <si>
    <t>Jaipur</t>
  </si>
  <si>
    <t>Rajisthan</t>
  </si>
  <si>
    <t>Hyderabad</t>
  </si>
  <si>
    <t>Noida</t>
  </si>
  <si>
    <t>Gurgaon</t>
  </si>
  <si>
    <t>Banglore</t>
  </si>
  <si>
    <t>Karnataka</t>
  </si>
  <si>
    <t>UPI</t>
  </si>
  <si>
    <t>Card</t>
  </si>
  <si>
    <t>Cash</t>
  </si>
  <si>
    <t>Customer</t>
  </si>
  <si>
    <t>Product</t>
  </si>
  <si>
    <t>Average Sales</t>
  </si>
  <si>
    <t>Total Sales</t>
  </si>
  <si>
    <t>Max Sales</t>
  </si>
  <si>
    <t>Min Sales</t>
  </si>
  <si>
    <t>Delhi Orders</t>
  </si>
  <si>
    <t>Delhi Total Sales</t>
  </si>
  <si>
    <t>Delhi 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</si>
</sst>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Sheet1!$G$2:$G$11</c:f>
              <c:strCache>
                <c:ptCount val="10"/>
                <c:pt idx="0">
                  <c:v>Delhi</c:v>
                </c:pt>
                <c:pt idx="1">
                  <c:v>Mumbai</c:v>
                </c:pt>
                <c:pt idx="2">
                  <c:v>Jaipur</c:v>
                </c:pt>
                <c:pt idx="3">
                  <c:v>Rajisthan</c:v>
                </c:pt>
                <c:pt idx="4">
                  <c:v>Hyderabad</c:v>
                </c:pt>
                <c:pt idx="5">
                  <c:v>Noida</c:v>
                </c:pt>
                <c:pt idx="6">
                  <c:v>Gurgaon</c:v>
                </c:pt>
                <c:pt idx="7">
                  <c:v>Banglore</c:v>
                </c:pt>
                <c:pt idx="8">
                  <c:v>Karnataka</c:v>
                </c:pt>
                <c:pt idx="9">
                  <c:v>Noida</c:v>
                </c:pt>
              </c:strCache>
            </c:strRef>
          </c:cat>
          <c:val>
            <c:numRef>
              <c:f>Sheet1!$J$2:$J$11</c:f>
              <c:numCache>
                <c:formatCode>General</c:formatCode>
                <c:ptCount val="10"/>
                <c:pt idx="0">
                  <c:v>2400</c:v>
                </c:pt>
                <c:pt idx="1">
                  <c:v>1800</c:v>
                </c:pt>
                <c:pt idx="2">
                  <c:v>4500</c:v>
                </c:pt>
                <c:pt idx="3">
                  <c:v>1800</c:v>
                </c:pt>
                <c:pt idx="4">
                  <c:v>2800</c:v>
                </c:pt>
                <c:pt idx="5">
                  <c:v>1000</c:v>
                </c:pt>
                <c:pt idx="6">
                  <c:v>2200</c:v>
                </c:pt>
                <c:pt idx="7">
                  <c:v>2800</c:v>
                </c:pt>
                <c:pt idx="8">
                  <c:v>1200</c:v>
                </c:pt>
                <c:pt idx="9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4-473F-8086-71D72DEB1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814495"/>
        <c:axId val="1794814975"/>
      </c:barChart>
      <c:catAx>
        <c:axId val="179481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814975"/>
        <c:crosses val="autoZero"/>
        <c:auto val="1"/>
        <c:lblAlgn val="ctr"/>
        <c:lblOffset val="100"/>
        <c:noMultiLvlLbl val="0"/>
      </c:catAx>
      <c:valAx>
        <c:axId val="179481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81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</a:t>
            </a:r>
            <a:r>
              <a:rPr lang="en-US" baseline="0"/>
              <a:t> Sales Distribution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Sheet1!$J$1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7F-4B22-8B2F-3AC0A57174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7F-4B22-8B2F-3AC0A57174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7F-4B22-8B2F-3AC0A57174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7F-4B22-8B2F-3AC0A57174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7F-4B22-8B2F-3AC0A57174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7F-4B22-8B2F-3AC0A571744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17F-4B22-8B2F-3AC0A571744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17F-4B22-8B2F-3AC0A571744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17F-4B22-8B2F-3AC0A571744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17F-4B22-8B2F-3AC0A571744B}"/>
              </c:ext>
            </c:extLst>
          </c:dPt>
          <c:cat>
            <c:strRef>
              <c:f>Sheet1!$C$2:$C$11</c:f>
              <c:strCache>
                <c:ptCount val="10"/>
                <c:pt idx="0">
                  <c:v>Shoes</c:v>
                </c:pt>
                <c:pt idx="1">
                  <c:v>Watch</c:v>
                </c:pt>
                <c:pt idx="2">
                  <c:v>Bag</c:v>
                </c:pt>
                <c:pt idx="3">
                  <c:v>Shirt</c:v>
                </c:pt>
                <c:pt idx="4">
                  <c:v>Laptop</c:v>
                </c:pt>
                <c:pt idx="5">
                  <c:v>Bottle</c:v>
                </c:pt>
                <c:pt idx="6">
                  <c:v>Headphones</c:v>
                </c:pt>
                <c:pt idx="7">
                  <c:v>Jeans</c:v>
                </c:pt>
                <c:pt idx="8">
                  <c:v>Shoes</c:v>
                </c:pt>
                <c:pt idx="9">
                  <c:v>Watch</c:v>
                </c:pt>
              </c:strCache>
            </c:strRef>
          </c:cat>
          <c:val>
            <c:numRef>
              <c:f>Sheet1!$J$2:$J$11</c:f>
              <c:numCache>
                <c:formatCode>General</c:formatCode>
                <c:ptCount val="10"/>
                <c:pt idx="0">
                  <c:v>2400</c:v>
                </c:pt>
                <c:pt idx="1">
                  <c:v>1800</c:v>
                </c:pt>
                <c:pt idx="2">
                  <c:v>4500</c:v>
                </c:pt>
                <c:pt idx="3">
                  <c:v>1800</c:v>
                </c:pt>
                <c:pt idx="4">
                  <c:v>2800</c:v>
                </c:pt>
                <c:pt idx="5">
                  <c:v>1000</c:v>
                </c:pt>
                <c:pt idx="6">
                  <c:v>2200</c:v>
                </c:pt>
                <c:pt idx="7">
                  <c:v>2800</c:v>
                </c:pt>
                <c:pt idx="8">
                  <c:v>1200</c:v>
                </c:pt>
                <c:pt idx="9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9-4273-AE3D-C83AD574F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30162</xdr:colOff>
      <xdr:row>2</xdr:row>
      <xdr:rowOff>28575</xdr:rowOff>
    </xdr:from>
    <xdr:to>
      <xdr:col>18</xdr:col>
      <xdr:colOff>334962</xdr:colOff>
      <xdr:row>17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F7BEDE-A9E3-FDFB-16AE-329C3488C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1587</xdr:colOff>
      <xdr:row>18</xdr:row>
      <xdr:rowOff>15875</xdr:rowOff>
    </xdr:from>
    <xdr:to>
      <xdr:col>18</xdr:col>
      <xdr:colOff>306387</xdr:colOff>
      <xdr:row>33</xdr:row>
      <xdr:rowOff>47625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79B3261-597A-BF14-29F3-B2361049C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3E2E-ECBC-4E87-853A-3FCE9D4DCCE7}">
  <dimension ref="A1:J18"/>
  <sheetViews>
    <sheetView tabSelected="1" workbookViewId="0">
      <selection activeCell="T23" sqref="T23"/>
    </sheetView>
  </sheetViews>
  <sheetFormatPr defaultRowHeight="14.5" x14ac:dyDescent="0.35"/>
  <cols>
    <col min="9" max="10" width="9.453125" bestFit="1" customWidth="1"/>
  </cols>
  <sheetData>
    <row r="1" spans="1:10" x14ac:dyDescent="0.35">
      <c r="A1" t="s">
        <v>0</v>
      </c>
      <c r="B1" t="s">
        <v>43</v>
      </c>
      <c r="C1" t="s">
        <v>44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>
        <v>101</v>
      </c>
      <c r="B2" t="s">
        <v>8</v>
      </c>
      <c r="C2" t="s">
        <v>18</v>
      </c>
      <c r="D2" t="s">
        <v>26</v>
      </c>
      <c r="E2">
        <v>1200</v>
      </c>
      <c r="F2">
        <v>2</v>
      </c>
      <c r="G2" t="s">
        <v>31</v>
      </c>
      <c r="H2" t="s">
        <v>40</v>
      </c>
      <c r="I2" s="1">
        <v>46026</v>
      </c>
      <c r="J2">
        <f>E2*F2</f>
        <v>2400</v>
      </c>
    </row>
    <row r="3" spans="1:10" x14ac:dyDescent="0.35">
      <c r="A3">
        <v>102</v>
      </c>
      <c r="B3" t="s">
        <v>9</v>
      </c>
      <c r="C3" t="s">
        <v>19</v>
      </c>
      <c r="D3" t="s">
        <v>27</v>
      </c>
      <c r="E3">
        <v>1800</v>
      </c>
      <c r="F3">
        <v>1</v>
      </c>
      <c r="G3" t="s">
        <v>32</v>
      </c>
      <c r="H3" t="s">
        <v>41</v>
      </c>
      <c r="I3" s="1">
        <v>46057</v>
      </c>
      <c r="J3">
        <f t="shared" ref="J3:J10" si="0">E3*F3</f>
        <v>1800</v>
      </c>
    </row>
    <row r="4" spans="1:10" x14ac:dyDescent="0.35">
      <c r="A4">
        <v>103</v>
      </c>
      <c r="B4" t="s">
        <v>10</v>
      </c>
      <c r="C4" t="s">
        <v>20</v>
      </c>
      <c r="D4" t="s">
        <v>26</v>
      </c>
      <c r="E4">
        <v>1500</v>
      </c>
      <c r="F4">
        <v>3</v>
      </c>
      <c r="G4" t="s">
        <v>33</v>
      </c>
      <c r="H4" t="s">
        <v>42</v>
      </c>
      <c r="I4" s="1">
        <v>46085</v>
      </c>
      <c r="J4">
        <f t="shared" si="0"/>
        <v>4500</v>
      </c>
    </row>
    <row r="5" spans="1:10" x14ac:dyDescent="0.35">
      <c r="A5">
        <v>104</v>
      </c>
      <c r="B5" t="s">
        <v>11</v>
      </c>
      <c r="C5" t="s">
        <v>21</v>
      </c>
      <c r="D5" t="s">
        <v>28</v>
      </c>
      <c r="E5">
        <v>900</v>
      </c>
      <c r="F5">
        <v>2</v>
      </c>
      <c r="G5" t="s">
        <v>34</v>
      </c>
      <c r="H5" t="s">
        <v>40</v>
      </c>
      <c r="I5" s="1">
        <v>46116</v>
      </c>
      <c r="J5">
        <f t="shared" si="0"/>
        <v>1800</v>
      </c>
    </row>
    <row r="6" spans="1:10" x14ac:dyDescent="0.35">
      <c r="A6">
        <v>105</v>
      </c>
      <c r="B6" t="s">
        <v>12</v>
      </c>
      <c r="C6" t="s">
        <v>22</v>
      </c>
      <c r="D6" t="s">
        <v>29</v>
      </c>
      <c r="E6">
        <v>700</v>
      </c>
      <c r="F6">
        <v>4</v>
      </c>
      <c r="G6" t="s">
        <v>35</v>
      </c>
      <c r="H6" t="s">
        <v>41</v>
      </c>
      <c r="I6" s="1">
        <v>46146</v>
      </c>
      <c r="J6">
        <f t="shared" si="0"/>
        <v>2800</v>
      </c>
    </row>
    <row r="7" spans="1:10" x14ac:dyDescent="0.35">
      <c r="A7">
        <v>106</v>
      </c>
      <c r="B7" t="s">
        <v>13</v>
      </c>
      <c r="C7" t="s">
        <v>23</v>
      </c>
      <c r="D7" t="s">
        <v>30</v>
      </c>
      <c r="E7">
        <v>200</v>
      </c>
      <c r="F7">
        <v>5</v>
      </c>
      <c r="G7" t="s">
        <v>36</v>
      </c>
      <c r="H7" t="s">
        <v>40</v>
      </c>
      <c r="I7" s="1">
        <v>46146</v>
      </c>
      <c r="J7">
        <f t="shared" si="0"/>
        <v>1000</v>
      </c>
    </row>
    <row r="8" spans="1:10" x14ac:dyDescent="0.35">
      <c r="A8">
        <v>107</v>
      </c>
      <c r="B8" t="s">
        <v>14</v>
      </c>
      <c r="C8" t="s">
        <v>24</v>
      </c>
      <c r="D8" t="s">
        <v>29</v>
      </c>
      <c r="E8">
        <v>2200</v>
      </c>
      <c r="F8">
        <v>1</v>
      </c>
      <c r="G8" t="s">
        <v>37</v>
      </c>
      <c r="H8" t="s">
        <v>41</v>
      </c>
      <c r="I8" s="1">
        <v>46207</v>
      </c>
      <c r="J8">
        <f t="shared" si="0"/>
        <v>2200</v>
      </c>
    </row>
    <row r="9" spans="1:10" x14ac:dyDescent="0.35">
      <c r="A9">
        <v>108</v>
      </c>
      <c r="B9" t="s">
        <v>15</v>
      </c>
      <c r="C9" t="s">
        <v>25</v>
      </c>
      <c r="D9" t="s">
        <v>28</v>
      </c>
      <c r="E9">
        <v>1400</v>
      </c>
      <c r="F9">
        <v>2</v>
      </c>
      <c r="G9" t="s">
        <v>38</v>
      </c>
      <c r="H9" t="s">
        <v>42</v>
      </c>
      <c r="I9" s="1">
        <v>46238</v>
      </c>
      <c r="J9">
        <f t="shared" si="0"/>
        <v>2800</v>
      </c>
    </row>
    <row r="10" spans="1:10" x14ac:dyDescent="0.35">
      <c r="A10">
        <v>109</v>
      </c>
      <c r="B10" t="s">
        <v>16</v>
      </c>
      <c r="C10" t="s">
        <v>18</v>
      </c>
      <c r="D10" t="s">
        <v>26</v>
      </c>
      <c r="E10">
        <v>1200</v>
      </c>
      <c r="F10">
        <v>1</v>
      </c>
      <c r="G10" t="s">
        <v>39</v>
      </c>
      <c r="H10" t="s">
        <v>42</v>
      </c>
      <c r="I10" s="1">
        <v>46269</v>
      </c>
      <c r="J10">
        <f t="shared" si="0"/>
        <v>1200</v>
      </c>
    </row>
    <row r="11" spans="1:10" x14ac:dyDescent="0.35">
      <c r="A11">
        <v>110</v>
      </c>
      <c r="B11" t="s">
        <v>17</v>
      </c>
      <c r="C11" t="s">
        <v>19</v>
      </c>
      <c r="D11" t="s">
        <v>27</v>
      </c>
      <c r="E11">
        <v>1800</v>
      </c>
      <c r="F11">
        <v>4</v>
      </c>
      <c r="G11" t="s">
        <v>36</v>
      </c>
      <c r="H11" t="s">
        <v>40</v>
      </c>
      <c r="I11" s="1">
        <v>46299</v>
      </c>
      <c r="J11">
        <f>E11*F11</f>
        <v>7200</v>
      </c>
    </row>
    <row r="12" spans="1:10" x14ac:dyDescent="0.35">
      <c r="I12" t="s">
        <v>46</v>
      </c>
      <c r="J12">
        <f>SUM(J2:J11)</f>
        <v>27700</v>
      </c>
    </row>
    <row r="13" spans="1:10" x14ac:dyDescent="0.35">
      <c r="I13" t="s">
        <v>45</v>
      </c>
      <c r="J13">
        <f>AVERAGE(J2:J11)</f>
        <v>2770</v>
      </c>
    </row>
    <row r="14" spans="1:10" x14ac:dyDescent="0.35">
      <c r="I14" t="s">
        <v>47</v>
      </c>
      <c r="J14">
        <f>MAX(J2:J11)</f>
        <v>7200</v>
      </c>
    </row>
    <row r="15" spans="1:10" x14ac:dyDescent="0.35">
      <c r="I15" t="s">
        <v>48</v>
      </c>
      <c r="J15">
        <f>MIN(J2:J11)</f>
        <v>1000</v>
      </c>
    </row>
    <row r="16" spans="1:10" x14ac:dyDescent="0.35">
      <c r="I16" t="s">
        <v>49</v>
      </c>
      <c r="J16">
        <f>COUNTIF(G2:G11,"Delhi")</f>
        <v>1</v>
      </c>
    </row>
    <row r="17" spans="9:10" x14ac:dyDescent="0.35">
      <c r="I17" t="s">
        <v>50</v>
      </c>
      <c r="J17">
        <f>SUMIF(G2:G11,"Delhi",J2:J11)</f>
        <v>2400</v>
      </c>
    </row>
    <row r="18" spans="9:10" x14ac:dyDescent="0.35">
      <c r="I18" t="s">
        <v>51</v>
      </c>
      <c r="J18">
        <f>+AVERAGEIF(G2:G11,"Delhi",J2:J11)</f>
        <v>2400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2026-04-13T14:48:48Z</dcterms:created>
  <dcterms:modified xsi:type="dcterms:W3CDTF">2026-04-19T14:31:06Z</dcterms:modified>
</cp:coreProperties>
</file>